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年测算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'三年测算'!$A$1:$E$21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6332F"/>
      <sz val="11"/>
    </font>
    <font>
      <name val="Arial"/>
      <color rgb="00214D43"/>
      <sz val="11"/>
    </font>
  </fonts>
  <fills count="3">
    <fill>
      <patternFill/>
    </fill>
    <fill>
      <patternFill patternType="gray125"/>
    </fill>
    <fill>
      <patternFill patternType="solid">
        <fgColor rgb="00214D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7" customWidth="1" min="4" max="4"/>
    <col width="44" customWidth="1" min="5" max="5"/>
  </cols>
  <sheetData>
    <row r="1">
      <c r="A1" s="1" t="inlineStr">
        <is>
          <t>项目（金额单位：人民币元）</t>
        </is>
      </c>
      <c r="B1" s="1" t="inlineStr">
        <is>
          <t>第一年</t>
        </is>
      </c>
      <c r="C1" s="1" t="inlineStr">
        <is>
          <t>第二年</t>
        </is>
      </c>
      <c r="D1" s="1" t="inlineStr">
        <is>
          <t>第三年</t>
        </is>
      </c>
      <c r="E1" s="1" t="inlineStr">
        <is>
          <t>说明</t>
        </is>
      </c>
    </row>
    <row r="2">
      <c r="A2" s="2" t="inlineStr">
        <is>
          <t>年度活跃用户目标</t>
        </is>
      </c>
      <c r="B2" s="3" t="n">
        <v>10000</v>
      </c>
      <c r="C2" s="3" t="n">
        <v>40000</v>
      </c>
      <c r="D2" s="3" t="n">
        <v>100000</v>
      </c>
      <c r="E2" s="2" t="inlineStr">
        <is>
          <t>经营目标，非现有用户</t>
        </is>
      </c>
    </row>
    <row r="3">
      <c r="A3" s="2" t="inlineStr">
        <is>
          <t>平均付费有效用户年</t>
        </is>
      </c>
      <c r="B3" s="3" t="n">
        <v>800</v>
      </c>
      <c r="C3" s="3" t="n">
        <v>3500</v>
      </c>
      <c r="D3" s="3" t="n">
        <v>10000</v>
      </c>
      <c r="E3" s="2" t="inlineStr">
        <is>
          <t>全年有效付费月数/12</t>
        </is>
      </c>
    </row>
    <row r="4">
      <c r="A4" s="2" t="inlineStr">
        <is>
          <t>会员单位年净收入</t>
        </is>
      </c>
      <c r="B4" s="3" t="n">
        <v>99</v>
      </c>
      <c r="C4" s="3" t="n">
        <v>99</v>
      </c>
      <c r="D4" s="3" t="n">
        <v>99</v>
      </c>
      <c r="E4" s="2" t="inlineStr">
        <is>
          <t>待验证假设，非正式标价</t>
        </is>
      </c>
    </row>
    <row r="5">
      <c r="A5" s="2" t="inlineStr">
        <is>
          <t>会员收入</t>
        </is>
      </c>
      <c r="B5" s="4">
        <f>B3*B4</f>
        <v/>
      </c>
      <c r="C5" s="4">
        <f>C3*C4</f>
        <v/>
      </c>
      <c r="D5" s="4">
        <f>D3*D4</f>
        <v/>
      </c>
      <c r="E5" s="2" t="inlineStr">
        <is>
          <t>付费有效用户年*单位净收入</t>
        </is>
      </c>
    </row>
    <row r="6">
      <c r="A6" s="2" t="inlineStr">
        <is>
          <t>付费机构全年服务当量</t>
        </is>
      </c>
      <c r="B6" s="3" t="n">
        <v>6</v>
      </c>
      <c r="C6" s="3" t="n">
        <v>25</v>
      </c>
      <c r="D6" s="3" t="n">
        <v>60</v>
      </c>
      <c r="E6" s="2" t="inlineStr">
        <is>
          <t>非期末客户数</t>
        </is>
      </c>
    </row>
    <row r="7">
      <c r="A7" s="2" t="inlineStr">
        <is>
          <t>机构单家年净收入</t>
        </is>
      </c>
      <c r="B7" s="3" t="n">
        <v>6000</v>
      </c>
      <c r="C7" s="3" t="n">
        <v>9000</v>
      </c>
      <c r="D7" s="3" t="n">
        <v>12000</v>
      </c>
      <c r="E7" s="2" t="inlineStr">
        <is>
          <t>待验证假设</t>
        </is>
      </c>
    </row>
    <row r="8">
      <c r="A8" s="2" t="inlineStr">
        <is>
          <t>机构收入</t>
        </is>
      </c>
      <c r="B8" s="4">
        <f>B6*B7</f>
        <v/>
      </c>
      <c r="C8" s="4">
        <f>C6*C7</f>
        <v/>
      </c>
      <c r="D8" s="4">
        <f>D6*D7</f>
        <v/>
      </c>
      <c r="E8" s="2" t="inlineStr">
        <is>
          <t>服务当量*单价</t>
        </is>
      </c>
    </row>
    <row r="9">
      <c r="A9" s="2" t="inlineStr">
        <is>
          <t>有效服务交易笔数</t>
        </is>
      </c>
      <c r="B9" s="3" t="n">
        <v>400</v>
      </c>
      <c r="C9" s="3" t="n">
        <v>2000</v>
      </c>
      <c r="D9" s="3" t="n">
        <v>8000</v>
      </c>
      <c r="E9" s="2" t="inlineStr">
        <is>
          <t>退款后有效结算</t>
        </is>
      </c>
    </row>
    <row r="10">
      <c r="A10" s="2" t="inlineStr">
        <is>
          <t>平均交易额</t>
        </is>
      </c>
      <c r="B10" s="3" t="n">
        <v>300</v>
      </c>
      <c r="C10" s="3" t="n">
        <v>350</v>
      </c>
      <c r="D10" s="3" t="n">
        <v>400</v>
      </c>
      <c r="E10" s="2" t="inlineStr">
        <is>
          <t>非平台净收入</t>
        </is>
      </c>
    </row>
    <row r="11">
      <c r="A11" s="2" t="inlineStr">
        <is>
          <t>净服务费率</t>
        </is>
      </c>
      <c r="B11" s="5" t="n">
        <v>0.05</v>
      </c>
      <c r="C11" s="5" t="n">
        <v>0.05</v>
      </c>
      <c r="D11" s="5" t="n">
        <v>0.05</v>
      </c>
      <c r="E11" s="2" t="inlineStr">
        <is>
          <t>待验证假设</t>
        </is>
      </c>
    </row>
    <row r="12">
      <c r="A12" s="2" t="inlineStr">
        <is>
          <t>净服务费收入</t>
        </is>
      </c>
      <c r="B12" s="4">
        <f>B9*B10*B11</f>
        <v/>
      </c>
      <c r="C12" s="4">
        <f>C9*C10*C11</f>
        <v/>
      </c>
      <c r="D12" s="4">
        <f>D9*D10*D11</f>
        <v/>
      </c>
      <c r="E12" s="2" t="inlineStr">
        <is>
          <t>笔数*交易额*费率</t>
        </is>
      </c>
    </row>
    <row r="13">
      <c r="A13" s="2" t="inlineStr">
        <is>
          <t>合计收入</t>
        </is>
      </c>
      <c r="B13" s="4">
        <f>B5+B8+B12</f>
        <v/>
      </c>
      <c r="C13" s="4">
        <f>C5+C8+C12</f>
        <v/>
      </c>
      <c r="D13" s="4">
        <f>D5+D8+D12</f>
        <v/>
      </c>
      <c r="E13" s="2" t="inlineStr">
        <is>
          <t>不含奖金补贴</t>
        </is>
      </c>
    </row>
    <row r="14">
      <c r="A14" s="2" t="inlineStr">
        <is>
          <t>人员及稳定协作</t>
        </is>
      </c>
      <c r="B14" s="3" t="n">
        <v>340000</v>
      </c>
      <c r="C14" s="3" t="n">
        <v>520000</v>
      </c>
      <c r="D14" s="3" t="n">
        <v>780000</v>
      </c>
      <c r="E14" s="2" t="inlineStr">
        <is>
          <t>预算</t>
        </is>
      </c>
    </row>
    <row r="15">
      <c r="A15" s="2" t="inlineStr">
        <is>
          <t>内容核验制作</t>
        </is>
      </c>
      <c r="B15" s="3" t="n">
        <v>60000</v>
      </c>
      <c r="C15" s="3" t="n">
        <v>100000</v>
      </c>
      <c r="D15" s="3" t="n">
        <v>160000</v>
      </c>
      <c r="E15" s="2" t="inlineStr">
        <is>
          <t>预算</t>
        </is>
      </c>
    </row>
    <row r="16">
      <c r="A16" s="2" t="inlineStr">
        <is>
          <t>增长与试点</t>
        </is>
      </c>
      <c r="B16" s="3" t="n">
        <v>40000</v>
      </c>
      <c r="C16" s="3" t="n">
        <v>70000</v>
      </c>
      <c r="D16" s="3" t="n">
        <v>80000</v>
      </c>
      <c r="E16" s="2" t="inlineStr">
        <is>
          <t>预算</t>
        </is>
      </c>
    </row>
    <row r="17">
      <c r="A17" s="2" t="inlineStr">
        <is>
          <t>行政合同合规</t>
        </is>
      </c>
      <c r="B17" s="3" t="n">
        <v>40000</v>
      </c>
      <c r="C17" s="3" t="n">
        <v>50000</v>
      </c>
      <c r="D17" s="3" t="n">
        <v>70000</v>
      </c>
      <c r="E17" s="2" t="inlineStr">
        <is>
          <t>预算</t>
        </is>
      </c>
    </row>
    <row r="18">
      <c r="A18" s="2" t="inlineStr">
        <is>
          <t>基础设施外部技术交付</t>
        </is>
      </c>
      <c r="B18" s="3" t="n">
        <v>100000</v>
      </c>
      <c r="C18" s="3" t="n">
        <v>210000</v>
      </c>
      <c r="D18" s="3" t="n">
        <v>410000</v>
      </c>
      <c r="E18" s="2" t="inlineStr">
        <is>
          <t>包括免费用户成本</t>
        </is>
      </c>
    </row>
    <row r="19">
      <c r="A19" s="2" t="inlineStr">
        <is>
          <t>总经营成本</t>
        </is>
      </c>
      <c r="B19" s="4">
        <f>SUM(B14:B18)</f>
        <v/>
      </c>
      <c r="C19" s="4">
        <f>SUM(C14:C18)</f>
        <v/>
      </c>
      <c r="D19" s="4">
        <f>SUM(D14:D18)</f>
        <v/>
      </c>
      <c r="E19" s="2" t="inlineStr">
        <is>
          <t>预算</t>
        </is>
      </c>
    </row>
    <row r="20">
      <c r="A20" s="2" t="inlineStr">
        <is>
          <t>经营结余</t>
        </is>
      </c>
      <c r="B20" s="4">
        <f>B13-B19</f>
        <v/>
      </c>
      <c r="C20" s="4">
        <f>C13-C19</f>
        <v/>
      </c>
      <c r="D20" s="4">
        <f>D13-D19</f>
        <v/>
      </c>
      <c r="E20" s="2" t="inlineStr">
        <is>
          <t>非税后利润或现金流</t>
        </is>
      </c>
    </row>
    <row r="21">
      <c r="A21" s="2" t="inlineStr">
        <is>
          <t>总收入达基准70%时经营结余</t>
        </is>
      </c>
      <c r="B21" s="4">
        <f>B13*70%-B19</f>
        <v/>
      </c>
      <c r="C21" s="4">
        <f>C13*70%-C19</f>
        <v/>
      </c>
      <c r="D21" s="4">
        <f>D13*70%-D19</f>
        <v/>
      </c>
      <c r="E21" s="2" t="inlineStr">
        <is>
          <t>成本维持基准不变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本工作簿全部为假设和预算，不代表已实现收入或正式标价。</t>
        </is>
      </c>
    </row>
    <row r="2">
      <c r="A2" t="inlineStr">
        <is>
          <t>金额单位：人民币元。</t>
        </is>
      </c>
    </row>
    <row r="3">
      <c r="A3" t="inlineStr">
        <is>
          <t>付费有效用户年＝全年付费服务月数÷12；机构采用全年服务当量。</t>
        </is>
      </c>
    </row>
    <row r="4">
      <c r="A4" t="inlineStr">
        <is>
          <t>净收入假设应在折扣、退款、渠道及适用税费规则确认后重新测算。</t>
        </is>
      </c>
    </row>
    <row r="5">
      <c r="A5" t="inlineStr">
        <is>
          <t>经营结余不是税后净利润，也不是实际现金流。</t>
        </is>
      </c>
    </row>
    <row r="6">
      <c r="A6" t="inlineStr">
        <is>
          <t>尚未单列所得税、折旧摊销、资本性支出和营运资金变化。</t>
        </is>
      </c>
    </row>
    <row r="7">
      <c r="A7" t="inlineStr">
        <is>
          <t>第三年收入达基准70%时，假设成本不变，经营结余为-191000元。</t>
        </is>
      </c>
    </row>
    <row r="8">
      <c r="A8" t="inlineStr">
        <is>
          <t>比赛奖金、未落实补贴和未批准贷款均不计入确定资金。</t>
        </is>
      </c>
    </row>
    <row r="9">
      <c r="A9" t="inlineStr">
        <is>
          <t>单元格公式会在 Excel／WPS 打开时重新计算。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2026-10-19T13:10:39Z</dcterms:created>
  <dcterms:modified xmlns:dcterms="http://purl.org/dc/terms/" xmlns:xsi="http://www.w3.org/2001/XMLSchema-instance" xsi:type="dcterms:W3CDTF">2026-10-19T13:10:39Z</dcterms:modified>
</cp:coreProperties>
</file>